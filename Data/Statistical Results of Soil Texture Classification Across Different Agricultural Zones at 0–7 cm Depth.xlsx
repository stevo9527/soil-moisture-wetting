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\降水和土壤水分数据提取\2021年1-12月耕地降水和delta_sm的数据\数据提取\全国数据\2017-2022\模型模拟数据\0~7cm\土壤分类\数据\"/>
    </mc:Choice>
  </mc:AlternateContent>
  <xr:revisionPtr revIDLastSave="0" documentId="13_ncr:1_{25E78F42-370F-48E6-96D0-9EF78F228D90}" xr6:coauthVersionLast="47" xr6:coauthVersionMax="47" xr10:uidLastSave="{00000000-0000-0000-0000-000000000000}"/>
  <bookViews>
    <workbookView xWindow="-110" yWindow="-110" windowWidth="34620" windowHeight="13900" activeTab="2" xr2:uid="{818358DC-98D1-403B-9C40-F5E345F429F1}"/>
  </bookViews>
  <sheets>
    <sheet name="40个地形分类下数据统计" sheetId="3" r:id="rId1"/>
    <sheet name="0~7cm不同农业分区下地形质地分类统计结果" sheetId="1" r:id="rId2"/>
    <sheet name="Sheet2" sheetId="5" r:id="rId3"/>
  </sheets>
  <definedNames>
    <definedName name="_xlnm._FilterDatabase" localSheetId="1" hidden="1">'0~7cm不同农业分区下地形质地分类统计结果'!$A$1:$D$136</definedName>
    <definedName name="_xlnm._FilterDatabase" localSheetId="0" hidden="1">'40个地形分类下数据统计'!$A$1:$C$41</definedName>
  </definedNames>
  <calcPr calcId="191029"/>
  <pivotCaches>
    <pivotCache cacheId="0" r:id="rId4"/>
  </pivotCaches>
</workbook>
</file>

<file path=xl/calcChain.xml><?xml version="1.0" encoding="utf-8"?>
<calcChain xmlns="http://schemas.openxmlformats.org/spreadsheetml/2006/main">
  <c r="D92" i="1" l="1"/>
  <c r="D4" i="1"/>
  <c r="D5" i="1"/>
  <c r="D6" i="1"/>
  <c r="D7" i="1"/>
  <c r="D8" i="1"/>
  <c r="D9" i="1"/>
  <c r="D34" i="1"/>
  <c r="D43" i="1"/>
  <c r="D93" i="1"/>
  <c r="D104" i="1"/>
  <c r="D91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3" i="1"/>
  <c r="D94" i="1"/>
  <c r="D128" i="1"/>
  <c r="D106" i="1"/>
  <c r="D130" i="1"/>
  <c r="D37" i="1"/>
  <c r="D38" i="1"/>
  <c r="D39" i="1"/>
  <c r="D40" i="1"/>
  <c r="D41" i="1"/>
  <c r="D42" i="1"/>
  <c r="D45" i="1"/>
  <c r="D46" i="1"/>
  <c r="D47" i="1"/>
  <c r="D48" i="1"/>
  <c r="D49" i="1"/>
  <c r="D50" i="1"/>
  <c r="D51" i="1"/>
  <c r="D52" i="1"/>
  <c r="D65" i="1"/>
  <c r="D105" i="1"/>
  <c r="D53" i="1"/>
  <c r="D54" i="1"/>
  <c r="D55" i="1"/>
  <c r="D56" i="1"/>
  <c r="D57" i="1"/>
  <c r="D58" i="1"/>
  <c r="D59" i="1"/>
  <c r="D60" i="1"/>
  <c r="D61" i="1"/>
  <c r="D62" i="1"/>
  <c r="D63" i="1"/>
  <c r="D64" i="1"/>
  <c r="D32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14" i="1"/>
  <c r="D129" i="1"/>
  <c r="D107" i="1"/>
  <c r="D3" i="1"/>
  <c r="D103" i="1"/>
  <c r="D95" i="1"/>
  <c r="D96" i="1"/>
  <c r="D97" i="1"/>
  <c r="D98" i="1"/>
  <c r="D99" i="1"/>
  <c r="D100" i="1"/>
  <c r="D101" i="1"/>
  <c r="D35" i="1"/>
  <c r="D11" i="1"/>
  <c r="D44" i="1"/>
  <c r="D2" i="1"/>
  <c r="D12" i="1"/>
  <c r="D90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36" i="1"/>
  <c r="D102" i="1"/>
  <c r="D10" i="1"/>
  <c r="D131" i="1"/>
  <c r="D132" i="1"/>
  <c r="D133" i="1"/>
  <c r="D134" i="1"/>
  <c r="D135" i="1"/>
  <c r="D136" i="1"/>
  <c r="D13" i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2" i="3"/>
</calcChain>
</file>

<file path=xl/sharedStrings.xml><?xml version="1.0" encoding="utf-8"?>
<sst xmlns="http://schemas.openxmlformats.org/spreadsheetml/2006/main" count="232" uniqueCount="68">
  <si>
    <t>分区</t>
  </si>
  <si>
    <t>土壤分类</t>
  </si>
  <si>
    <t>数据集大小</t>
  </si>
  <si>
    <t>Loam_1</t>
  </si>
  <si>
    <t>Sandy Loam_1</t>
  </si>
  <si>
    <t>Clay Loam_1</t>
  </si>
  <si>
    <t>Loamy Sand_1</t>
  </si>
  <si>
    <t>Silt Loam_1</t>
  </si>
  <si>
    <t>Silty Clay Loam_1</t>
  </si>
  <si>
    <t>Loam_2</t>
  </si>
  <si>
    <t>Sandy Loam_4</t>
  </si>
  <si>
    <t>Loam_4</t>
  </si>
  <si>
    <t>Loam_7</t>
  </si>
  <si>
    <t>Loamy Sand_4</t>
  </si>
  <si>
    <t>Loam_5</t>
  </si>
  <si>
    <t>Loam_10</t>
  </si>
  <si>
    <t>Loam_8</t>
  </si>
  <si>
    <t>Sandy Loam_5</t>
  </si>
  <si>
    <t>Sandy Loam_10</t>
  </si>
  <si>
    <t>Sandy Loam_2</t>
  </si>
  <si>
    <t>Silt Loam_7</t>
  </si>
  <si>
    <t>Clay Loam_4</t>
  </si>
  <si>
    <t>Loam_11</t>
  </si>
  <si>
    <t>Loam_9</t>
  </si>
  <si>
    <t>Sand_4</t>
  </si>
  <si>
    <t>Silty Clay Loam_4</t>
  </si>
  <si>
    <t>Sandy Loam_8</t>
  </si>
  <si>
    <t>Sandy Loam_7</t>
  </si>
  <si>
    <t>Sandy Loam_11</t>
  </si>
  <si>
    <t>Loamy Sand_7</t>
  </si>
  <si>
    <t>Clay Loam_7</t>
  </si>
  <si>
    <t>Clay Loam_5</t>
  </si>
  <si>
    <t>Clay Loam_8</t>
  </si>
  <si>
    <t>Sandy Loam_15</t>
  </si>
  <si>
    <t>Silty Clay_1</t>
  </si>
  <si>
    <t>Clay Loam_2</t>
  </si>
  <si>
    <t>Clay_7</t>
  </si>
  <si>
    <t>Clay_4</t>
  </si>
  <si>
    <t>Clay_1</t>
  </si>
  <si>
    <t>Clay Loam_6</t>
  </si>
  <si>
    <t>Loam_12</t>
  </si>
  <si>
    <t>Sandy Loam_3</t>
  </si>
  <si>
    <t>Sandy Clay Loam_1</t>
  </si>
  <si>
    <t>占比（%）</t>
    <phoneticPr fontId="18" type="noConversion"/>
  </si>
  <si>
    <t>Sandy Loam_1</t>
    <phoneticPr fontId="18" type="noConversion"/>
  </si>
  <si>
    <t>Loam_4</t>
    <phoneticPr fontId="18" type="noConversion"/>
  </si>
  <si>
    <t>Clay Loam_1</t>
    <phoneticPr fontId="18" type="noConversion"/>
  </si>
  <si>
    <t>Silty Clay Loam_1</t>
    <phoneticPr fontId="18" type="noConversion"/>
  </si>
  <si>
    <t>Silt Loam_1</t>
    <phoneticPr fontId="18" type="noConversion"/>
  </si>
  <si>
    <t>Clay Loam_4</t>
    <phoneticPr fontId="18" type="noConversion"/>
  </si>
  <si>
    <t>Sandy Loam_4</t>
    <phoneticPr fontId="18" type="noConversion"/>
  </si>
  <si>
    <t>Loam_7</t>
    <phoneticPr fontId="18" type="noConversion"/>
  </si>
  <si>
    <t>Clay Loam_7</t>
    <phoneticPr fontId="18" type="noConversion"/>
  </si>
  <si>
    <t>Loam_5</t>
    <phoneticPr fontId="18" type="noConversion"/>
  </si>
  <si>
    <t>Loamy Sand_1</t>
    <phoneticPr fontId="18" type="noConversion"/>
  </si>
  <si>
    <t>Loam_2</t>
    <phoneticPr fontId="18" type="noConversion"/>
  </si>
  <si>
    <t>Loam_8</t>
    <phoneticPr fontId="18" type="noConversion"/>
  </si>
  <si>
    <t>Loam_7</t>
    <phoneticPr fontId="18" type="noConversion"/>
  </si>
  <si>
    <t>数据占比（%）</t>
  </si>
  <si>
    <t>Loam_1</t>
    <phoneticPr fontId="18" type="noConversion"/>
  </si>
  <si>
    <t>Loam_4</t>
    <phoneticPr fontId="18" type="noConversion"/>
  </si>
  <si>
    <t>Sandy Loam_1</t>
    <phoneticPr fontId="18" type="noConversion"/>
  </si>
  <si>
    <t>Clay Loam_1</t>
    <phoneticPr fontId="18" type="noConversion"/>
  </si>
  <si>
    <t>Silty Clay Loam_1</t>
    <phoneticPr fontId="18" type="noConversion"/>
  </si>
  <si>
    <t>Clay Loam_7</t>
    <phoneticPr fontId="18" type="noConversion"/>
  </si>
  <si>
    <t>行标签</t>
  </si>
  <si>
    <t>总计</t>
  </si>
  <si>
    <t>求和项:占比（%）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</si>
</sst>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top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upf" refreshedDate="45975.376506828703" createdVersion="8" refreshedVersion="8" minRefreshableVersion="3" recordCount="32" xr:uid="{1F850989-E399-4672-B58D-EF953C4A3ED4}">
  <cacheSource type="worksheet">
    <worksheetSource ref="A1:D33" sheet="Sheet2"/>
  </cacheSource>
  <cacheFields count="4">
    <cacheField name="分区" numFmtId="0">
      <sharedItems containsSemiMixedTypes="0" containsString="0" containsNumber="1" containsInteger="1" minValue="1" maxValue="9"/>
    </cacheField>
    <cacheField name="土壤分类" numFmtId="0">
      <sharedItems count="11">
        <s v="Clay Loam_1"/>
        <s v="Clay Loam_4"/>
        <s v="Clay Loam_7"/>
        <s v="Loam_1"/>
        <s v="Loam_4"/>
        <s v="Loam_7"/>
        <s v="Loamy Sand_1"/>
        <s v="Sandy Loam_1"/>
        <s v="Sandy Loam_4"/>
        <s v="Silt Loam_1"/>
        <s v="Silty Clay Loam_1"/>
      </sharedItems>
    </cacheField>
    <cacheField name="数据集大小" numFmtId="0">
      <sharedItems containsSemiMixedTypes="0" containsString="0" containsNumber="1" containsInteger="1" minValue="24003" maxValue="873379"/>
    </cacheField>
    <cacheField name="占比（%）" numFmtId="0">
      <sharedItems containsSemiMixedTypes="0" containsString="0" containsNumber="1" minValue="0.39167794911727644" maxValue="14.25168918560587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8"/>
    <x v="0"/>
    <n v="110642"/>
    <n v="1.8054423049716157"/>
  </r>
  <r>
    <n v="7"/>
    <x v="0"/>
    <n v="67159"/>
    <n v="1.0958921545126512"/>
  </r>
  <r>
    <n v="1"/>
    <x v="0"/>
    <n v="63378"/>
    <n v="1.0341942698477167"/>
  </r>
  <r>
    <n v="9"/>
    <x v="0"/>
    <n v="41528"/>
    <n v="0.67764870520111053"/>
  </r>
  <r>
    <n v="8"/>
    <x v="1"/>
    <n v="186535"/>
    <n v="3.0438547780940364"/>
  </r>
  <r>
    <n v="8"/>
    <x v="2"/>
    <n v="56346"/>
    <n v="0.91944697416831456"/>
  </r>
  <r>
    <n v="1"/>
    <x v="3"/>
    <n v="873379"/>
    <n v="14.251689185605873"/>
  </r>
  <r>
    <n v="7"/>
    <x v="3"/>
    <n v="786087"/>
    <n v="12.827269257499166"/>
  </r>
  <r>
    <n v="6"/>
    <x v="3"/>
    <n v="542430"/>
    <n v="8.851304834382546"/>
  </r>
  <r>
    <n v="3"/>
    <x v="3"/>
    <n v="370213"/>
    <n v="6.0410893878496124"/>
  </r>
  <r>
    <n v="2"/>
    <x v="3"/>
    <n v="292904"/>
    <n v="4.7795708039931144"/>
  </r>
  <r>
    <n v="8"/>
    <x v="3"/>
    <n v="262460"/>
    <n v="4.2827894232104473"/>
  </r>
  <r>
    <n v="9"/>
    <x v="3"/>
    <n v="217135"/>
    <n v="3.5431817473474068"/>
  </r>
  <r>
    <n v="4"/>
    <x v="3"/>
    <n v="127938"/>
    <n v="2.0876762677234555"/>
  </r>
  <r>
    <n v="2"/>
    <x v="4"/>
    <n v="155158"/>
    <n v="2.531848820111585"/>
  </r>
  <r>
    <n v="8"/>
    <x v="4"/>
    <n v="121759"/>
    <n v="1.9868481192588616"/>
  </r>
  <r>
    <n v="4"/>
    <x v="4"/>
    <n v="85478"/>
    <n v="1.3948193031973735"/>
  </r>
  <r>
    <n v="6"/>
    <x v="4"/>
    <n v="24003"/>
    <n v="0.39167794911727644"/>
  </r>
  <r>
    <n v="8"/>
    <x v="5"/>
    <n v="38692"/>
    <n v="0.63137121223370662"/>
  </r>
  <r>
    <n v="2"/>
    <x v="6"/>
    <n v="24005"/>
    <n v="0.3917105848669008"/>
  </r>
  <r>
    <n v="1"/>
    <x v="7"/>
    <n v="345653"/>
    <n v="5.6403223824619397"/>
  </r>
  <r>
    <n v="2"/>
    <x v="7"/>
    <n v="133958"/>
    <n v="2.1859098740929097"/>
  </r>
  <r>
    <n v="3"/>
    <x v="7"/>
    <n v="132561"/>
    <n v="2.1631138029802641"/>
  </r>
  <r>
    <n v="9"/>
    <x v="7"/>
    <n v="56451"/>
    <n v="0.92116035102359584"/>
  </r>
  <r>
    <n v="7"/>
    <x v="7"/>
    <n v="34285"/>
    <n v="0.55945833793633382"/>
  </r>
  <r>
    <n v="2"/>
    <x v="8"/>
    <n v="94249"/>
    <n v="1.5379433831751941"/>
  </r>
  <r>
    <n v="4"/>
    <x v="8"/>
    <n v="48025"/>
    <n v="0.7836659378559846"/>
  </r>
  <r>
    <n v="3"/>
    <x v="8"/>
    <n v="27590"/>
    <n v="0.45021016606864372"/>
  </r>
  <r>
    <n v="7"/>
    <x v="9"/>
    <n v="163926"/>
    <n v="2.6749239464649692"/>
  </r>
  <r>
    <n v="3"/>
    <x v="9"/>
    <n v="36585"/>
    <n v="0.59698945000439763"/>
  </r>
  <r>
    <n v="7"/>
    <x v="10"/>
    <n v="183632"/>
    <n v="2.9964839875142149"/>
  </r>
  <r>
    <n v="3"/>
    <x v="10"/>
    <n v="26369"/>
    <n v="0.430286040922945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518CA2-C773-439C-A0D1-34ADD1AAA091}" name="数据透视表2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I1:J13" firstHeaderRow="1" firstDataRow="1" firstDataCol="1"/>
  <pivotFields count="4"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dataField="1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求和项:占比（%）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4FFC9-3998-434A-A18F-E529863F5CCC}">
  <dimension ref="A1:C41"/>
  <sheetViews>
    <sheetView topLeftCell="A13" zoomScale="85" zoomScaleNormal="85" workbookViewId="0">
      <selection sqref="A1:C41"/>
    </sheetView>
  </sheetViews>
  <sheetFormatPr defaultRowHeight="14" x14ac:dyDescent="0.3"/>
  <cols>
    <col min="1" max="1" width="17.75" customWidth="1"/>
    <col min="2" max="2" width="10.75" customWidth="1"/>
  </cols>
  <sheetData>
    <row r="1" spans="1:3" x14ac:dyDescent="0.3">
      <c r="A1" s="1" t="s">
        <v>1</v>
      </c>
      <c r="B1" s="1" t="s">
        <v>2</v>
      </c>
      <c r="C1" s="1" t="s">
        <v>58</v>
      </c>
    </row>
    <row r="2" spans="1:3" x14ac:dyDescent="0.3">
      <c r="A2" t="s">
        <v>3</v>
      </c>
      <c r="B2">
        <v>3473306</v>
      </c>
      <c r="C2">
        <f>B2/6128249*100</f>
        <v>56.676972492468892</v>
      </c>
    </row>
    <row r="3" spans="1:3" x14ac:dyDescent="0.3">
      <c r="A3" t="s">
        <v>44</v>
      </c>
      <c r="B3">
        <v>733516</v>
      </c>
      <c r="C3">
        <f t="shared" ref="C3:C41" si="0">B3/6128249*100</f>
        <v>11.969422260746912</v>
      </c>
    </row>
    <row r="4" spans="1:3" x14ac:dyDescent="0.3">
      <c r="A4" t="s">
        <v>45</v>
      </c>
      <c r="B4">
        <v>414002</v>
      </c>
      <c r="C4">
        <f t="shared" si="0"/>
        <v>6.7556328080011108</v>
      </c>
    </row>
    <row r="5" spans="1:3" x14ac:dyDescent="0.3">
      <c r="A5" t="s">
        <v>46</v>
      </c>
      <c r="B5">
        <v>314921</v>
      </c>
      <c r="C5">
        <f t="shared" si="0"/>
        <v>5.1388414537333587</v>
      </c>
    </row>
    <row r="6" spans="1:3" x14ac:dyDescent="0.3">
      <c r="A6" t="s">
        <v>47</v>
      </c>
      <c r="B6">
        <v>229299</v>
      </c>
      <c r="C6">
        <f t="shared" si="0"/>
        <v>3.7416723765630282</v>
      </c>
    </row>
    <row r="7" spans="1:3" x14ac:dyDescent="0.3">
      <c r="A7" t="s">
        <v>48</v>
      </c>
      <c r="B7">
        <v>204835</v>
      </c>
      <c r="C7">
        <f t="shared" si="0"/>
        <v>3.3424718871573265</v>
      </c>
    </row>
    <row r="8" spans="1:3" x14ac:dyDescent="0.3">
      <c r="A8" t="s">
        <v>49</v>
      </c>
      <c r="B8">
        <v>198536</v>
      </c>
      <c r="C8">
        <f t="shared" si="0"/>
        <v>3.2396855937152682</v>
      </c>
    </row>
    <row r="9" spans="1:3" x14ac:dyDescent="0.3">
      <c r="A9" t="s">
        <v>50</v>
      </c>
      <c r="B9">
        <v>180280</v>
      </c>
      <c r="C9">
        <f t="shared" si="0"/>
        <v>2.9417864711437152</v>
      </c>
    </row>
    <row r="10" spans="1:3" x14ac:dyDescent="0.3">
      <c r="A10" t="s">
        <v>51</v>
      </c>
      <c r="B10">
        <v>81694</v>
      </c>
      <c r="C10">
        <f t="shared" si="0"/>
        <v>1.3330724649080024</v>
      </c>
    </row>
    <row r="11" spans="1:3" x14ac:dyDescent="0.3">
      <c r="A11" t="s">
        <v>52</v>
      </c>
      <c r="B11">
        <v>62222</v>
      </c>
      <c r="C11">
        <f t="shared" si="0"/>
        <v>1.0153308065648114</v>
      </c>
    </row>
    <row r="12" spans="1:3" x14ac:dyDescent="0.3">
      <c r="A12" t="s">
        <v>53</v>
      </c>
      <c r="B12">
        <v>43066</v>
      </c>
      <c r="C12">
        <f t="shared" si="0"/>
        <v>0.70274559666227665</v>
      </c>
    </row>
    <row r="13" spans="1:3" x14ac:dyDescent="0.3">
      <c r="A13" t="s">
        <v>54</v>
      </c>
      <c r="B13">
        <v>35543</v>
      </c>
      <c r="C13">
        <f t="shared" si="0"/>
        <v>0.57998622445008352</v>
      </c>
    </row>
    <row r="14" spans="1:3" x14ac:dyDescent="0.3">
      <c r="A14" t="s">
        <v>55</v>
      </c>
      <c r="B14">
        <v>28938</v>
      </c>
      <c r="C14">
        <f t="shared" si="0"/>
        <v>0.4722066613154916</v>
      </c>
    </row>
    <row r="15" spans="1:3" x14ac:dyDescent="0.3">
      <c r="A15" t="s">
        <v>31</v>
      </c>
      <c r="B15">
        <v>23806</v>
      </c>
      <c r="C15">
        <f t="shared" si="0"/>
        <v>0.38846332777927267</v>
      </c>
    </row>
    <row r="16" spans="1:3" x14ac:dyDescent="0.3">
      <c r="A16" t="s">
        <v>56</v>
      </c>
      <c r="B16">
        <v>19488</v>
      </c>
      <c r="C16">
        <f t="shared" si="0"/>
        <v>0.31800274434018594</v>
      </c>
    </row>
    <row r="17" spans="1:3" x14ac:dyDescent="0.3">
      <c r="A17" t="s">
        <v>13</v>
      </c>
      <c r="B17">
        <v>16019</v>
      </c>
      <c r="C17">
        <f t="shared" si="0"/>
        <v>0.26139603661665839</v>
      </c>
    </row>
    <row r="18" spans="1:3" x14ac:dyDescent="0.3">
      <c r="A18" t="s">
        <v>15</v>
      </c>
      <c r="B18">
        <v>12011</v>
      </c>
      <c r="C18">
        <f t="shared" si="0"/>
        <v>0.19599399436935414</v>
      </c>
    </row>
    <row r="19" spans="1:3" x14ac:dyDescent="0.3">
      <c r="A19" t="s">
        <v>17</v>
      </c>
      <c r="B19">
        <v>6177</v>
      </c>
      <c r="C19">
        <f t="shared" si="0"/>
        <v>0.10079551271496964</v>
      </c>
    </row>
    <row r="20" spans="1:3" x14ac:dyDescent="0.3">
      <c r="A20" t="s">
        <v>32</v>
      </c>
      <c r="B20">
        <v>5855</v>
      </c>
      <c r="C20">
        <f t="shared" si="0"/>
        <v>9.5541157025440707E-2</v>
      </c>
    </row>
    <row r="21" spans="1:3" x14ac:dyDescent="0.3">
      <c r="A21" t="s">
        <v>26</v>
      </c>
      <c r="B21">
        <v>4778</v>
      </c>
      <c r="C21">
        <f t="shared" si="0"/>
        <v>7.7966805852699522E-2</v>
      </c>
    </row>
    <row r="22" spans="1:3" x14ac:dyDescent="0.3">
      <c r="A22" t="s">
        <v>22</v>
      </c>
      <c r="B22">
        <v>4447</v>
      </c>
      <c r="C22">
        <f t="shared" si="0"/>
        <v>7.2565589289860774E-2</v>
      </c>
    </row>
    <row r="23" spans="1:3" x14ac:dyDescent="0.3">
      <c r="A23" t="s">
        <v>18</v>
      </c>
      <c r="B23">
        <v>4250</v>
      </c>
      <c r="C23">
        <f t="shared" si="0"/>
        <v>6.9350967951857051E-2</v>
      </c>
    </row>
    <row r="24" spans="1:3" x14ac:dyDescent="0.3">
      <c r="A24" t="s">
        <v>27</v>
      </c>
      <c r="B24">
        <v>4002</v>
      </c>
      <c r="C24">
        <f t="shared" si="0"/>
        <v>6.5304134998431032E-2</v>
      </c>
    </row>
    <row r="25" spans="1:3" x14ac:dyDescent="0.3">
      <c r="A25" t="s">
        <v>35</v>
      </c>
      <c r="B25">
        <v>3435</v>
      </c>
      <c r="C25">
        <f t="shared" si="0"/>
        <v>5.6051899979912695E-2</v>
      </c>
    </row>
    <row r="26" spans="1:3" x14ac:dyDescent="0.3">
      <c r="A26" t="s">
        <v>23</v>
      </c>
      <c r="B26">
        <v>3424</v>
      </c>
      <c r="C26">
        <f t="shared" si="0"/>
        <v>5.5872403356978476E-2</v>
      </c>
    </row>
    <row r="27" spans="1:3" x14ac:dyDescent="0.3">
      <c r="A27" t="s">
        <v>28</v>
      </c>
      <c r="B27">
        <v>3337</v>
      </c>
      <c r="C27">
        <f t="shared" si="0"/>
        <v>5.4452748248316939E-2</v>
      </c>
    </row>
    <row r="28" spans="1:3" x14ac:dyDescent="0.3">
      <c r="A28" t="s">
        <v>36</v>
      </c>
      <c r="B28">
        <v>2989</v>
      </c>
      <c r="C28">
        <f t="shared" si="0"/>
        <v>4.8774127813670756E-2</v>
      </c>
    </row>
    <row r="29" spans="1:3" x14ac:dyDescent="0.3">
      <c r="A29" t="s">
        <v>37</v>
      </c>
      <c r="B29">
        <v>2265</v>
      </c>
      <c r="C29">
        <f t="shared" si="0"/>
        <v>3.6959986449636759E-2</v>
      </c>
    </row>
    <row r="30" spans="1:3" x14ac:dyDescent="0.3">
      <c r="A30" t="s">
        <v>25</v>
      </c>
      <c r="B30">
        <v>1895</v>
      </c>
      <c r="C30">
        <f t="shared" si="0"/>
        <v>3.0922372769122141E-2</v>
      </c>
    </row>
    <row r="31" spans="1:3" x14ac:dyDescent="0.3">
      <c r="A31" t="s">
        <v>19</v>
      </c>
      <c r="B31">
        <v>1585</v>
      </c>
      <c r="C31">
        <f t="shared" si="0"/>
        <v>2.5863831577339631E-2</v>
      </c>
    </row>
    <row r="32" spans="1:3" x14ac:dyDescent="0.3">
      <c r="A32" t="s">
        <v>38</v>
      </c>
      <c r="B32">
        <v>1458</v>
      </c>
      <c r="C32">
        <f t="shared" si="0"/>
        <v>2.3791461476190018E-2</v>
      </c>
    </row>
    <row r="33" spans="1:3" x14ac:dyDescent="0.3">
      <c r="A33" t="s">
        <v>34</v>
      </c>
      <c r="B33">
        <v>1379</v>
      </c>
      <c r="C33">
        <f t="shared" si="0"/>
        <v>2.2502349366026086E-2</v>
      </c>
    </row>
    <row r="34" spans="1:3" x14ac:dyDescent="0.3">
      <c r="A34" t="s">
        <v>39</v>
      </c>
      <c r="B34">
        <v>1370</v>
      </c>
      <c r="C34">
        <f t="shared" si="0"/>
        <v>2.235548849271627E-2</v>
      </c>
    </row>
    <row r="35" spans="1:3" x14ac:dyDescent="0.3">
      <c r="A35" t="s">
        <v>20</v>
      </c>
      <c r="B35">
        <v>898</v>
      </c>
      <c r="C35">
        <f t="shared" si="0"/>
        <v>1.4653451581357089E-2</v>
      </c>
    </row>
    <row r="36" spans="1:3" x14ac:dyDescent="0.3">
      <c r="A36" t="s">
        <v>40</v>
      </c>
      <c r="B36">
        <v>716</v>
      </c>
      <c r="C36">
        <f t="shared" si="0"/>
        <v>1.1683598365536388E-2</v>
      </c>
    </row>
    <row r="37" spans="1:3" x14ac:dyDescent="0.3">
      <c r="A37" t="s">
        <v>41</v>
      </c>
      <c r="B37">
        <v>677</v>
      </c>
      <c r="C37">
        <f t="shared" si="0"/>
        <v>1.1047201247860522E-2</v>
      </c>
    </row>
    <row r="38" spans="1:3" x14ac:dyDescent="0.3">
      <c r="A38" t="s">
        <v>33</v>
      </c>
      <c r="B38">
        <v>566</v>
      </c>
      <c r="C38">
        <f t="shared" si="0"/>
        <v>9.2359171437061387E-3</v>
      </c>
    </row>
    <row r="39" spans="1:3" x14ac:dyDescent="0.3">
      <c r="A39" t="s">
        <v>42</v>
      </c>
      <c r="B39">
        <v>561</v>
      </c>
      <c r="C39">
        <f t="shared" si="0"/>
        <v>9.1543277696451292E-3</v>
      </c>
    </row>
    <row r="40" spans="1:3" x14ac:dyDescent="0.3">
      <c r="A40" t="s">
        <v>29</v>
      </c>
      <c r="B40">
        <v>413</v>
      </c>
      <c r="C40">
        <f t="shared" si="0"/>
        <v>6.7392822974392851E-3</v>
      </c>
    </row>
    <row r="41" spans="1:3" x14ac:dyDescent="0.3">
      <c r="A41" t="s">
        <v>24</v>
      </c>
      <c r="B41">
        <v>290</v>
      </c>
      <c r="C41">
        <f t="shared" si="0"/>
        <v>4.732183695538481E-3</v>
      </c>
    </row>
  </sheetData>
  <autoFilter ref="A1:C41" xr:uid="{3CD4FFC9-3998-434A-A18F-E529863F5CCC}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4F183-847E-40D2-85ED-6A83C1474702}">
  <sheetPr filterMode="1"/>
  <dimension ref="A1:D136"/>
  <sheetViews>
    <sheetView workbookViewId="0">
      <selection activeCell="H139" sqref="H139"/>
    </sheetView>
  </sheetViews>
  <sheetFormatPr defaultRowHeight="14" x14ac:dyDescent="0.3"/>
  <cols>
    <col min="2" max="2" width="17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43</v>
      </c>
    </row>
    <row r="2" spans="1:4" hidden="1" x14ac:dyDescent="0.3">
      <c r="A2">
        <v>8</v>
      </c>
      <c r="B2" t="s">
        <v>62</v>
      </c>
      <c r="C2">
        <v>110642</v>
      </c>
      <c r="D2">
        <f t="shared" ref="D2:D33" si="0">C2/6128249*100</f>
        <v>1.8054423049716157</v>
      </c>
    </row>
    <row r="3" spans="1:4" hidden="1" x14ac:dyDescent="0.3">
      <c r="A3">
        <v>7</v>
      </c>
      <c r="B3" t="s">
        <v>5</v>
      </c>
      <c r="C3">
        <v>67159</v>
      </c>
      <c r="D3">
        <f t="shared" si="0"/>
        <v>1.0958921545126512</v>
      </c>
    </row>
    <row r="4" spans="1:4" hidden="1" x14ac:dyDescent="0.3">
      <c r="A4">
        <v>1</v>
      </c>
      <c r="B4" t="s">
        <v>46</v>
      </c>
      <c r="C4">
        <v>63378</v>
      </c>
      <c r="D4">
        <f t="shared" si="0"/>
        <v>1.0341942698477167</v>
      </c>
    </row>
    <row r="5" spans="1:4" hidden="1" x14ac:dyDescent="0.3">
      <c r="A5">
        <v>1</v>
      </c>
      <c r="B5" t="s">
        <v>6</v>
      </c>
      <c r="C5">
        <v>10340</v>
      </c>
      <c r="D5">
        <f t="shared" si="0"/>
        <v>0.16872682555816515</v>
      </c>
    </row>
    <row r="6" spans="1:4" hidden="1" x14ac:dyDescent="0.3">
      <c r="A6">
        <v>1</v>
      </c>
      <c r="B6" t="s">
        <v>7</v>
      </c>
      <c r="C6">
        <v>900</v>
      </c>
      <c r="D6">
        <f t="shared" si="0"/>
        <v>1.4686087330981491E-2</v>
      </c>
    </row>
    <row r="7" spans="1:4" hidden="1" x14ac:dyDescent="0.3">
      <c r="A7">
        <v>1</v>
      </c>
      <c r="B7" t="s">
        <v>8</v>
      </c>
      <c r="C7">
        <v>872</v>
      </c>
      <c r="D7">
        <f t="shared" si="0"/>
        <v>1.4229186836239846E-2</v>
      </c>
    </row>
    <row r="8" spans="1:4" hidden="1" x14ac:dyDescent="0.3">
      <c r="A8">
        <v>1</v>
      </c>
      <c r="B8" t="s">
        <v>9</v>
      </c>
      <c r="C8">
        <v>492</v>
      </c>
      <c r="D8">
        <f t="shared" si="0"/>
        <v>8.0283944076032163E-3</v>
      </c>
    </row>
    <row r="9" spans="1:4" hidden="1" x14ac:dyDescent="0.3">
      <c r="A9">
        <v>1</v>
      </c>
      <c r="B9" t="s">
        <v>10</v>
      </c>
      <c r="C9">
        <v>455</v>
      </c>
      <c r="D9">
        <f t="shared" si="0"/>
        <v>7.4246330395517542E-3</v>
      </c>
    </row>
    <row r="10" spans="1:4" hidden="1" x14ac:dyDescent="0.3">
      <c r="A10">
        <v>9</v>
      </c>
      <c r="B10" t="s">
        <v>5</v>
      </c>
      <c r="C10">
        <v>41528</v>
      </c>
      <c r="D10">
        <f t="shared" si="0"/>
        <v>0.67764870520111053</v>
      </c>
    </row>
    <row r="11" spans="1:4" hidden="1" x14ac:dyDescent="0.3">
      <c r="A11">
        <v>8</v>
      </c>
      <c r="B11" t="s">
        <v>49</v>
      </c>
      <c r="C11">
        <v>186535</v>
      </c>
      <c r="D11">
        <f t="shared" si="0"/>
        <v>3.0438547780940364</v>
      </c>
    </row>
    <row r="12" spans="1:4" hidden="1" x14ac:dyDescent="0.3">
      <c r="A12">
        <v>8</v>
      </c>
      <c r="B12" t="s">
        <v>64</v>
      </c>
      <c r="C12">
        <v>56346</v>
      </c>
      <c r="D12">
        <f t="shared" si="0"/>
        <v>0.91944697416831456</v>
      </c>
    </row>
    <row r="13" spans="1:4" x14ac:dyDescent="0.3">
      <c r="A13">
        <v>1</v>
      </c>
      <c r="B13" t="s">
        <v>59</v>
      </c>
      <c r="C13">
        <v>873379</v>
      </c>
      <c r="D13">
        <f t="shared" si="0"/>
        <v>14.251689185605873</v>
      </c>
    </row>
    <row r="14" spans="1:4" x14ac:dyDescent="0.3">
      <c r="A14">
        <v>7</v>
      </c>
      <c r="B14" t="s">
        <v>59</v>
      </c>
      <c r="C14">
        <v>786087</v>
      </c>
      <c r="D14">
        <f t="shared" si="0"/>
        <v>12.827269257499166</v>
      </c>
    </row>
    <row r="15" spans="1:4" hidden="1" x14ac:dyDescent="0.3">
      <c r="A15">
        <v>2</v>
      </c>
      <c r="B15" t="s">
        <v>12</v>
      </c>
      <c r="C15">
        <v>17707</v>
      </c>
      <c r="D15">
        <f t="shared" si="0"/>
        <v>0.28894060929965476</v>
      </c>
    </row>
    <row r="16" spans="1:4" hidden="1" x14ac:dyDescent="0.3">
      <c r="A16">
        <v>2</v>
      </c>
      <c r="B16" t="s">
        <v>13</v>
      </c>
      <c r="C16">
        <v>13803</v>
      </c>
      <c r="D16">
        <f t="shared" si="0"/>
        <v>0.22523562603281949</v>
      </c>
    </row>
    <row r="17" spans="1:4" hidden="1" x14ac:dyDescent="0.3">
      <c r="A17">
        <v>2</v>
      </c>
      <c r="B17" t="s">
        <v>14</v>
      </c>
      <c r="C17">
        <v>13312</v>
      </c>
      <c r="D17">
        <f t="shared" si="0"/>
        <v>0.21722354950002848</v>
      </c>
    </row>
    <row r="18" spans="1:4" hidden="1" x14ac:dyDescent="0.3">
      <c r="A18">
        <v>2</v>
      </c>
      <c r="B18" t="s">
        <v>5</v>
      </c>
      <c r="C18">
        <v>8677</v>
      </c>
      <c r="D18">
        <f t="shared" si="0"/>
        <v>0.14159019974547379</v>
      </c>
    </row>
    <row r="19" spans="1:4" hidden="1" x14ac:dyDescent="0.3">
      <c r="A19">
        <v>2</v>
      </c>
      <c r="B19" t="s">
        <v>15</v>
      </c>
      <c r="C19">
        <v>3231</v>
      </c>
      <c r="D19">
        <f t="shared" si="0"/>
        <v>5.272305351822356E-2</v>
      </c>
    </row>
    <row r="20" spans="1:4" hidden="1" x14ac:dyDescent="0.3">
      <c r="A20">
        <v>2</v>
      </c>
      <c r="B20" t="s">
        <v>16</v>
      </c>
      <c r="C20">
        <v>2439</v>
      </c>
      <c r="D20">
        <f t="shared" si="0"/>
        <v>3.9799296666959846E-2</v>
      </c>
    </row>
    <row r="21" spans="1:4" hidden="1" x14ac:dyDescent="0.3">
      <c r="A21">
        <v>2</v>
      </c>
      <c r="B21" t="s">
        <v>9</v>
      </c>
      <c r="C21">
        <v>2001</v>
      </c>
      <c r="D21">
        <f t="shared" si="0"/>
        <v>3.2652067499215516E-2</v>
      </c>
    </row>
    <row r="22" spans="1:4" hidden="1" x14ac:dyDescent="0.3">
      <c r="A22">
        <v>2</v>
      </c>
      <c r="B22" t="s">
        <v>17</v>
      </c>
      <c r="C22">
        <v>1753</v>
      </c>
      <c r="D22">
        <f t="shared" si="0"/>
        <v>2.8605234545789504E-2</v>
      </c>
    </row>
    <row r="23" spans="1:4" hidden="1" x14ac:dyDescent="0.3">
      <c r="A23">
        <v>2</v>
      </c>
      <c r="B23" t="s">
        <v>18</v>
      </c>
      <c r="C23">
        <v>1090</v>
      </c>
      <c r="D23">
        <f t="shared" si="0"/>
        <v>1.7786483545299808E-2</v>
      </c>
    </row>
    <row r="24" spans="1:4" hidden="1" x14ac:dyDescent="0.3">
      <c r="A24">
        <v>2</v>
      </c>
      <c r="B24" t="s">
        <v>19</v>
      </c>
      <c r="C24">
        <v>926</v>
      </c>
      <c r="D24">
        <f t="shared" si="0"/>
        <v>1.5110352076098734E-2</v>
      </c>
    </row>
    <row r="25" spans="1:4" hidden="1" x14ac:dyDescent="0.3">
      <c r="A25">
        <v>2</v>
      </c>
      <c r="B25" t="s">
        <v>20</v>
      </c>
      <c r="C25">
        <v>898</v>
      </c>
      <c r="D25">
        <f t="shared" si="0"/>
        <v>1.4653451581357089E-2</v>
      </c>
    </row>
    <row r="26" spans="1:4" hidden="1" x14ac:dyDescent="0.3">
      <c r="A26">
        <v>2</v>
      </c>
      <c r="B26" t="s">
        <v>21</v>
      </c>
      <c r="C26">
        <v>744</v>
      </c>
      <c r="D26">
        <f t="shared" si="0"/>
        <v>1.2140498860278032E-2</v>
      </c>
    </row>
    <row r="27" spans="1:4" hidden="1" x14ac:dyDescent="0.3">
      <c r="A27">
        <v>2</v>
      </c>
      <c r="B27" t="s">
        <v>22</v>
      </c>
      <c r="C27">
        <v>526</v>
      </c>
      <c r="D27">
        <f t="shared" si="0"/>
        <v>8.5832021512180726E-3</v>
      </c>
    </row>
    <row r="28" spans="1:4" hidden="1" x14ac:dyDescent="0.3">
      <c r="A28">
        <v>2</v>
      </c>
      <c r="B28" t="s">
        <v>23</v>
      </c>
      <c r="C28">
        <v>416</v>
      </c>
      <c r="D28">
        <f t="shared" si="0"/>
        <v>6.78823592187589E-3</v>
      </c>
    </row>
    <row r="29" spans="1:4" hidden="1" x14ac:dyDescent="0.3">
      <c r="A29">
        <v>2</v>
      </c>
      <c r="B29" t="s">
        <v>7</v>
      </c>
      <c r="C29">
        <v>368</v>
      </c>
      <c r="D29">
        <f t="shared" si="0"/>
        <v>6.0049779308902103E-3</v>
      </c>
    </row>
    <row r="30" spans="1:4" hidden="1" x14ac:dyDescent="0.3">
      <c r="A30">
        <v>2</v>
      </c>
      <c r="B30" t="s">
        <v>24</v>
      </c>
      <c r="C30">
        <v>290</v>
      </c>
      <c r="D30">
        <f t="shared" si="0"/>
        <v>4.732183695538481E-3</v>
      </c>
    </row>
    <row r="31" spans="1:4" hidden="1" x14ac:dyDescent="0.3">
      <c r="A31">
        <v>2</v>
      </c>
      <c r="B31" t="s">
        <v>25</v>
      </c>
      <c r="C31">
        <v>254</v>
      </c>
      <c r="D31">
        <f t="shared" si="0"/>
        <v>4.1447402022992208E-3</v>
      </c>
    </row>
    <row r="32" spans="1:4" x14ac:dyDescent="0.3">
      <c r="A32">
        <v>6</v>
      </c>
      <c r="B32" t="s">
        <v>3</v>
      </c>
      <c r="C32">
        <v>542430</v>
      </c>
      <c r="D32">
        <f t="shared" si="0"/>
        <v>8.851304834382546</v>
      </c>
    </row>
    <row r="33" spans="1:4" x14ac:dyDescent="0.3">
      <c r="A33">
        <v>3</v>
      </c>
      <c r="B33" t="s">
        <v>3</v>
      </c>
      <c r="C33">
        <v>370213</v>
      </c>
      <c r="D33">
        <f t="shared" si="0"/>
        <v>6.0410893878496124</v>
      </c>
    </row>
    <row r="34" spans="1:4" x14ac:dyDescent="0.3">
      <c r="A34">
        <v>2</v>
      </c>
      <c r="B34" t="s">
        <v>3</v>
      </c>
      <c r="C34">
        <v>292904</v>
      </c>
      <c r="D34">
        <f t="shared" ref="D34:D65" si="1">C34/6128249*100</f>
        <v>4.7795708039931144</v>
      </c>
    </row>
    <row r="35" spans="1:4" x14ac:dyDescent="0.3">
      <c r="A35">
        <v>8</v>
      </c>
      <c r="B35" t="s">
        <v>3</v>
      </c>
      <c r="C35">
        <v>262460</v>
      </c>
      <c r="D35">
        <f t="shared" si="1"/>
        <v>4.2827894232104473</v>
      </c>
    </row>
    <row r="36" spans="1:4" x14ac:dyDescent="0.3">
      <c r="A36">
        <v>9</v>
      </c>
      <c r="B36" t="s">
        <v>3</v>
      </c>
      <c r="C36">
        <v>217135</v>
      </c>
      <c r="D36">
        <f t="shared" si="1"/>
        <v>3.5431817473474068</v>
      </c>
    </row>
    <row r="37" spans="1:4" hidden="1" x14ac:dyDescent="0.3">
      <c r="A37">
        <v>3</v>
      </c>
      <c r="B37" t="s">
        <v>11</v>
      </c>
      <c r="C37">
        <v>7922</v>
      </c>
      <c r="D37">
        <f t="shared" si="1"/>
        <v>0.12927020426226155</v>
      </c>
    </row>
    <row r="38" spans="1:4" hidden="1" x14ac:dyDescent="0.3">
      <c r="A38">
        <v>3</v>
      </c>
      <c r="B38" t="s">
        <v>5</v>
      </c>
      <c r="C38">
        <v>3845</v>
      </c>
      <c r="D38">
        <f t="shared" si="1"/>
        <v>6.2742228652915386E-2</v>
      </c>
    </row>
    <row r="39" spans="1:4" hidden="1" x14ac:dyDescent="0.3">
      <c r="A39">
        <v>3</v>
      </c>
      <c r="B39" t="s">
        <v>9</v>
      </c>
      <c r="C39">
        <v>2915</v>
      </c>
      <c r="D39">
        <f t="shared" si="1"/>
        <v>4.7566605077567832E-2</v>
      </c>
    </row>
    <row r="40" spans="1:4" hidden="1" x14ac:dyDescent="0.3">
      <c r="A40">
        <v>3</v>
      </c>
      <c r="B40" t="s">
        <v>17</v>
      </c>
      <c r="C40">
        <v>1079</v>
      </c>
      <c r="D40">
        <f t="shared" si="1"/>
        <v>1.7606986922365588E-2</v>
      </c>
    </row>
    <row r="41" spans="1:4" hidden="1" x14ac:dyDescent="0.3">
      <c r="A41">
        <v>3</v>
      </c>
      <c r="B41" t="s">
        <v>14</v>
      </c>
      <c r="C41">
        <v>336</v>
      </c>
      <c r="D41">
        <f t="shared" si="1"/>
        <v>5.4828059368997569E-3</v>
      </c>
    </row>
    <row r="42" spans="1:4" x14ac:dyDescent="0.3">
      <c r="A42">
        <v>4</v>
      </c>
      <c r="B42" t="s">
        <v>3</v>
      </c>
      <c r="C42">
        <v>127938</v>
      </c>
      <c r="D42">
        <f>C42/6128249*100</f>
        <v>2.0876762677234555</v>
      </c>
    </row>
    <row r="43" spans="1:4" hidden="1" x14ac:dyDescent="0.3">
      <c r="A43">
        <v>2</v>
      </c>
      <c r="B43" t="s">
        <v>60</v>
      </c>
      <c r="C43">
        <v>155158</v>
      </c>
      <c r="D43">
        <f>C43/6128249*100</f>
        <v>2.531848820111585</v>
      </c>
    </row>
    <row r="44" spans="1:4" hidden="1" x14ac:dyDescent="0.3">
      <c r="A44">
        <v>8</v>
      </c>
      <c r="B44" t="s">
        <v>11</v>
      </c>
      <c r="C44">
        <v>121759</v>
      </c>
      <c r="D44">
        <f>C44/6128249*100</f>
        <v>1.9868481192588616</v>
      </c>
    </row>
    <row r="45" spans="1:4" hidden="1" x14ac:dyDescent="0.3">
      <c r="A45">
        <v>4</v>
      </c>
      <c r="B45" t="s">
        <v>11</v>
      </c>
      <c r="C45">
        <v>85478</v>
      </c>
      <c r="D45">
        <f>C45/6128249*100</f>
        <v>1.3948193031973735</v>
      </c>
    </row>
    <row r="46" spans="1:4" hidden="1" x14ac:dyDescent="0.3">
      <c r="A46">
        <v>4</v>
      </c>
      <c r="B46" t="s">
        <v>10</v>
      </c>
      <c r="C46">
        <v>48025</v>
      </c>
      <c r="D46">
        <f>C46/6128249*100</f>
        <v>0.7836659378559846</v>
      </c>
    </row>
    <row r="47" spans="1:4" hidden="1" x14ac:dyDescent="0.3">
      <c r="A47">
        <v>4</v>
      </c>
      <c r="B47" t="s">
        <v>4</v>
      </c>
      <c r="C47">
        <v>17017</v>
      </c>
      <c r="D47">
        <f>C47/6128249*100</f>
        <v>0.27768127567923562</v>
      </c>
    </row>
    <row r="48" spans="1:4" hidden="1" x14ac:dyDescent="0.3">
      <c r="A48">
        <v>4</v>
      </c>
      <c r="B48" t="s">
        <v>9</v>
      </c>
      <c r="C48">
        <v>3871</v>
      </c>
      <c r="D48">
        <f>C48/6128249*100</f>
        <v>6.3166493398032625E-2</v>
      </c>
    </row>
    <row r="49" spans="1:4" hidden="1" x14ac:dyDescent="0.3">
      <c r="A49">
        <v>4</v>
      </c>
      <c r="B49" t="s">
        <v>14</v>
      </c>
      <c r="C49">
        <v>2873</v>
      </c>
      <c r="D49">
        <f>C49/6128249*100</f>
        <v>4.6881254335455369E-2</v>
      </c>
    </row>
    <row r="50" spans="1:4" hidden="1" x14ac:dyDescent="0.3">
      <c r="A50">
        <v>4</v>
      </c>
      <c r="B50" t="s">
        <v>13</v>
      </c>
      <c r="C50">
        <v>2216</v>
      </c>
      <c r="D50">
        <f>C50/6128249*100</f>
        <v>3.6160410583838877E-2</v>
      </c>
    </row>
    <row r="51" spans="1:4" hidden="1" x14ac:dyDescent="0.3">
      <c r="A51">
        <v>4</v>
      </c>
      <c r="B51" t="s">
        <v>17</v>
      </c>
      <c r="C51">
        <v>1785</v>
      </c>
      <c r="D51">
        <f>C51/6128249*100</f>
        <v>2.9127406539779958E-2</v>
      </c>
    </row>
    <row r="52" spans="1:4" hidden="1" x14ac:dyDescent="0.3">
      <c r="A52">
        <v>4</v>
      </c>
      <c r="B52" t="s">
        <v>12</v>
      </c>
      <c r="C52">
        <v>561</v>
      </c>
      <c r="D52">
        <f>C52/6128249*100</f>
        <v>9.1543277696451292E-3</v>
      </c>
    </row>
    <row r="53" spans="1:4" hidden="1" x14ac:dyDescent="0.3">
      <c r="A53">
        <v>5</v>
      </c>
      <c r="B53" t="s">
        <v>12</v>
      </c>
      <c r="C53">
        <v>7746</v>
      </c>
      <c r="D53">
        <f>C53/6128249*100</f>
        <v>0.12639825829531404</v>
      </c>
    </row>
    <row r="54" spans="1:4" hidden="1" x14ac:dyDescent="0.3">
      <c r="A54">
        <v>5</v>
      </c>
      <c r="B54" t="s">
        <v>15</v>
      </c>
      <c r="C54">
        <v>2615</v>
      </c>
      <c r="D54">
        <f>C54/6128249*100</f>
        <v>4.2671242633907334E-2</v>
      </c>
    </row>
    <row r="55" spans="1:4" hidden="1" x14ac:dyDescent="0.3">
      <c r="A55">
        <v>5</v>
      </c>
      <c r="B55" t="s">
        <v>18</v>
      </c>
      <c r="C55">
        <v>2460</v>
      </c>
      <c r="D55">
        <f>C55/6128249*100</f>
        <v>4.0141972038016074E-2</v>
      </c>
    </row>
    <row r="56" spans="1:4" hidden="1" x14ac:dyDescent="0.3">
      <c r="A56">
        <v>5</v>
      </c>
      <c r="B56" t="s">
        <v>16</v>
      </c>
      <c r="C56">
        <v>1033</v>
      </c>
      <c r="D56">
        <f>C56/6128249*100</f>
        <v>1.6856364681004314E-2</v>
      </c>
    </row>
    <row r="57" spans="1:4" hidden="1" x14ac:dyDescent="0.3">
      <c r="A57">
        <v>5</v>
      </c>
      <c r="B57" t="s">
        <v>22</v>
      </c>
      <c r="C57">
        <v>975</v>
      </c>
      <c r="D57">
        <f>C57/6128249*100</f>
        <v>1.5909927941896617E-2</v>
      </c>
    </row>
    <row r="58" spans="1:4" hidden="1" x14ac:dyDescent="0.3">
      <c r="A58">
        <v>5</v>
      </c>
      <c r="B58" t="s">
        <v>10</v>
      </c>
      <c r="C58">
        <v>928</v>
      </c>
      <c r="D58">
        <f>C58/6128249*100</f>
        <v>1.5142987825723139E-2</v>
      </c>
    </row>
    <row r="59" spans="1:4" hidden="1" x14ac:dyDescent="0.3">
      <c r="A59">
        <v>5</v>
      </c>
      <c r="B59" t="s">
        <v>27</v>
      </c>
      <c r="C59">
        <v>926</v>
      </c>
      <c r="D59">
        <f>C59/6128249*100</f>
        <v>1.5110352076098734E-2</v>
      </c>
    </row>
    <row r="60" spans="1:4" x14ac:dyDescent="0.3">
      <c r="A60">
        <v>5</v>
      </c>
      <c r="B60" t="s">
        <v>3</v>
      </c>
      <c r="C60">
        <v>760</v>
      </c>
      <c r="D60">
        <f>C60/6128249*100</f>
        <v>1.2401584857273261E-2</v>
      </c>
    </row>
    <row r="61" spans="1:4" hidden="1" x14ac:dyDescent="0.3">
      <c r="A61">
        <v>5</v>
      </c>
      <c r="B61" t="s">
        <v>26</v>
      </c>
      <c r="C61">
        <v>622</v>
      </c>
      <c r="D61">
        <f>C61/6128249*100</f>
        <v>1.0149718133189432E-2</v>
      </c>
    </row>
    <row r="62" spans="1:4" hidden="1" x14ac:dyDescent="0.3">
      <c r="A62">
        <v>5</v>
      </c>
      <c r="B62" t="s">
        <v>11</v>
      </c>
      <c r="C62">
        <v>494</v>
      </c>
      <c r="D62">
        <f>C62/6128249*100</f>
        <v>8.0610301572276184E-3</v>
      </c>
    </row>
    <row r="63" spans="1:4" hidden="1" x14ac:dyDescent="0.3">
      <c r="A63">
        <v>5</v>
      </c>
      <c r="B63" t="s">
        <v>28</v>
      </c>
      <c r="C63">
        <v>467</v>
      </c>
      <c r="D63">
        <f>C63/6128249*100</f>
        <v>7.6204475372981745E-3</v>
      </c>
    </row>
    <row r="64" spans="1:4" hidden="1" x14ac:dyDescent="0.3">
      <c r="A64">
        <v>5</v>
      </c>
      <c r="B64" t="s">
        <v>29</v>
      </c>
      <c r="C64">
        <v>413</v>
      </c>
      <c r="D64">
        <f>C64/6128249*100</f>
        <v>6.7392822974392851E-3</v>
      </c>
    </row>
    <row r="65" spans="1:4" hidden="1" x14ac:dyDescent="0.3">
      <c r="A65">
        <v>4</v>
      </c>
      <c r="B65" t="s">
        <v>5</v>
      </c>
      <c r="C65">
        <v>525</v>
      </c>
      <c r="D65">
        <f>C65/6128249*100</f>
        <v>8.5668842764058707E-3</v>
      </c>
    </row>
    <row r="66" spans="1:4" hidden="1" x14ac:dyDescent="0.3">
      <c r="A66">
        <v>6</v>
      </c>
      <c r="B66" t="s">
        <v>11</v>
      </c>
      <c r="C66">
        <v>24003</v>
      </c>
      <c r="D66">
        <f>C66/6128249*100</f>
        <v>0.39167794911727644</v>
      </c>
    </row>
    <row r="67" spans="1:4" hidden="1" x14ac:dyDescent="0.3">
      <c r="A67">
        <v>6</v>
      </c>
      <c r="B67" t="s">
        <v>5</v>
      </c>
      <c r="C67">
        <v>19167</v>
      </c>
      <c r="D67">
        <f>C67/6128249*100</f>
        <v>0.31276470652546917</v>
      </c>
    </row>
    <row r="68" spans="1:4" hidden="1" x14ac:dyDescent="0.3">
      <c r="A68">
        <v>6</v>
      </c>
      <c r="B68" t="s">
        <v>12</v>
      </c>
      <c r="C68">
        <v>16988</v>
      </c>
      <c r="D68">
        <f>C68/6128249*100</f>
        <v>0.27720805730968173</v>
      </c>
    </row>
    <row r="69" spans="1:4" hidden="1" x14ac:dyDescent="0.3">
      <c r="A69">
        <v>6</v>
      </c>
      <c r="B69" t="s">
        <v>14</v>
      </c>
      <c r="C69">
        <v>13027</v>
      </c>
      <c r="D69">
        <f>C69/6128249*100</f>
        <v>0.21257295517855099</v>
      </c>
    </row>
    <row r="70" spans="1:4" hidden="1" x14ac:dyDescent="0.3">
      <c r="A70">
        <v>6</v>
      </c>
      <c r="B70" t="s">
        <v>9</v>
      </c>
      <c r="C70">
        <v>12334</v>
      </c>
      <c r="D70">
        <f>C70/6128249*100</f>
        <v>0.20126466793369524</v>
      </c>
    </row>
    <row r="71" spans="1:4" hidden="1" x14ac:dyDescent="0.3">
      <c r="A71">
        <v>6</v>
      </c>
      <c r="B71" t="s">
        <v>8</v>
      </c>
      <c r="C71">
        <v>11464</v>
      </c>
      <c r="D71">
        <f>C71/6128249*100</f>
        <v>0.18706811684707983</v>
      </c>
    </row>
    <row r="72" spans="1:4" hidden="1" x14ac:dyDescent="0.3">
      <c r="A72">
        <v>6</v>
      </c>
      <c r="B72" t="s">
        <v>21</v>
      </c>
      <c r="C72">
        <v>10635</v>
      </c>
      <c r="D72">
        <f>C72/6128249*100</f>
        <v>0.17354059862776464</v>
      </c>
    </row>
    <row r="73" spans="1:4" hidden="1" x14ac:dyDescent="0.3">
      <c r="A73">
        <v>6</v>
      </c>
      <c r="B73" t="s">
        <v>16</v>
      </c>
      <c r="C73">
        <v>8546</v>
      </c>
      <c r="D73">
        <f>C73/6128249*100</f>
        <v>0.13945255814507537</v>
      </c>
    </row>
    <row r="74" spans="1:4" hidden="1" x14ac:dyDescent="0.3">
      <c r="A74">
        <v>6</v>
      </c>
      <c r="B74" t="s">
        <v>30</v>
      </c>
      <c r="C74">
        <v>5876</v>
      </c>
      <c r="D74">
        <f>C74/6128249*100</f>
        <v>9.5883832396496949E-2</v>
      </c>
    </row>
    <row r="75" spans="1:4" hidden="1" x14ac:dyDescent="0.3">
      <c r="A75">
        <v>6</v>
      </c>
      <c r="B75" t="s">
        <v>10</v>
      </c>
      <c r="C75">
        <v>5610</v>
      </c>
      <c r="D75">
        <f>C75/6128249*100</f>
        <v>9.1543277696451306E-2</v>
      </c>
    </row>
    <row r="76" spans="1:4" hidden="1" x14ac:dyDescent="0.3">
      <c r="A76">
        <v>6</v>
      </c>
      <c r="B76" t="s">
        <v>31</v>
      </c>
      <c r="C76">
        <v>4833</v>
      </c>
      <c r="D76">
        <f>C76/6128249*100</f>
        <v>7.8864288967370605E-2</v>
      </c>
    </row>
    <row r="77" spans="1:4" hidden="1" x14ac:dyDescent="0.3">
      <c r="A77">
        <v>6</v>
      </c>
      <c r="B77" t="s">
        <v>4</v>
      </c>
      <c r="C77">
        <v>3737</v>
      </c>
      <c r="D77">
        <f>C77/6128249*100</f>
        <v>6.0979898173197593E-2</v>
      </c>
    </row>
    <row r="78" spans="1:4" hidden="1" x14ac:dyDescent="0.3">
      <c r="A78">
        <v>6</v>
      </c>
      <c r="B78" t="s">
        <v>27</v>
      </c>
      <c r="C78">
        <v>3076</v>
      </c>
      <c r="D78">
        <f>C78/6128249*100</f>
        <v>5.01937829223323E-2</v>
      </c>
    </row>
    <row r="79" spans="1:4" hidden="1" x14ac:dyDescent="0.3">
      <c r="A79">
        <v>6</v>
      </c>
      <c r="B79" t="s">
        <v>26</v>
      </c>
      <c r="C79">
        <v>3057</v>
      </c>
      <c r="D79">
        <f>C79/6128249*100</f>
        <v>4.9883743300900465E-2</v>
      </c>
    </row>
    <row r="80" spans="1:4" hidden="1" x14ac:dyDescent="0.3">
      <c r="A80">
        <v>6</v>
      </c>
      <c r="B80" t="s">
        <v>7</v>
      </c>
      <c r="C80">
        <v>3056</v>
      </c>
      <c r="D80">
        <f>C80/6128249*100</f>
        <v>4.9867425426088269E-2</v>
      </c>
    </row>
    <row r="81" spans="1:4" hidden="1" x14ac:dyDescent="0.3">
      <c r="A81">
        <v>6</v>
      </c>
      <c r="B81" t="s">
        <v>15</v>
      </c>
      <c r="C81">
        <v>2920</v>
      </c>
      <c r="D81">
        <f>C81/6128249*100</f>
        <v>4.7648194451628843E-2</v>
      </c>
    </row>
    <row r="82" spans="1:4" hidden="1" x14ac:dyDescent="0.3">
      <c r="A82">
        <v>6</v>
      </c>
      <c r="B82" t="s">
        <v>22</v>
      </c>
      <c r="C82">
        <v>2202</v>
      </c>
      <c r="D82">
        <f>C82/6128249*100</f>
        <v>3.5931960336468054E-2</v>
      </c>
    </row>
    <row r="83" spans="1:4" hidden="1" x14ac:dyDescent="0.3">
      <c r="A83">
        <v>6</v>
      </c>
      <c r="B83" t="s">
        <v>17</v>
      </c>
      <c r="C83">
        <v>1560</v>
      </c>
      <c r="D83">
        <f>C83/6128249*100</f>
        <v>2.5455884707034589E-2</v>
      </c>
    </row>
    <row r="84" spans="1:4" hidden="1" x14ac:dyDescent="0.3">
      <c r="A84">
        <v>6</v>
      </c>
      <c r="B84" t="s">
        <v>23</v>
      </c>
      <c r="C84">
        <v>1550</v>
      </c>
      <c r="D84">
        <f>C84/6128249*100</f>
        <v>2.529270595891257E-2</v>
      </c>
    </row>
    <row r="85" spans="1:4" hidden="1" x14ac:dyDescent="0.3">
      <c r="A85">
        <v>6</v>
      </c>
      <c r="B85" t="s">
        <v>28</v>
      </c>
      <c r="C85">
        <v>1421</v>
      </c>
      <c r="D85">
        <f>C85/6128249*100</f>
        <v>2.3187700108138556E-2</v>
      </c>
    </row>
    <row r="86" spans="1:4" hidden="1" x14ac:dyDescent="0.3">
      <c r="A86">
        <v>6</v>
      </c>
      <c r="B86" t="s">
        <v>18</v>
      </c>
      <c r="C86">
        <v>700</v>
      </c>
      <c r="D86">
        <f>C86/6128249*100</f>
        <v>1.142251236854116E-2</v>
      </c>
    </row>
    <row r="87" spans="1:4" hidden="1" x14ac:dyDescent="0.3">
      <c r="A87">
        <v>6</v>
      </c>
      <c r="B87" t="s">
        <v>32</v>
      </c>
      <c r="C87">
        <v>686</v>
      </c>
      <c r="D87">
        <f>C87/6128249*100</f>
        <v>1.1194062121170337E-2</v>
      </c>
    </row>
    <row r="88" spans="1:4" hidden="1" x14ac:dyDescent="0.3">
      <c r="A88">
        <v>6</v>
      </c>
      <c r="B88" t="s">
        <v>19</v>
      </c>
      <c r="C88">
        <v>659</v>
      </c>
      <c r="D88">
        <f>C88/6128249*100</f>
        <v>1.0753479501240892E-2</v>
      </c>
    </row>
    <row r="89" spans="1:4" hidden="1" x14ac:dyDescent="0.3">
      <c r="A89">
        <v>6</v>
      </c>
      <c r="B89" t="s">
        <v>33</v>
      </c>
      <c r="C89">
        <v>566</v>
      </c>
      <c r="D89">
        <f>C89/6128249*100</f>
        <v>9.2359171437061387E-3</v>
      </c>
    </row>
    <row r="90" spans="1:4" hidden="1" x14ac:dyDescent="0.3">
      <c r="A90">
        <v>8</v>
      </c>
      <c r="B90" t="s">
        <v>57</v>
      </c>
      <c r="C90">
        <v>38692</v>
      </c>
      <c r="D90">
        <f>C90/6128249*100</f>
        <v>0.63137121223370662</v>
      </c>
    </row>
    <row r="91" spans="1:4" hidden="1" x14ac:dyDescent="0.3">
      <c r="A91">
        <v>2</v>
      </c>
      <c r="B91" t="s">
        <v>54</v>
      </c>
      <c r="C91">
        <v>24005</v>
      </c>
      <c r="D91">
        <f>C91/6128249*100</f>
        <v>0.3917105848669008</v>
      </c>
    </row>
    <row r="92" spans="1:4" hidden="1" x14ac:dyDescent="0.3">
      <c r="A92">
        <v>1</v>
      </c>
      <c r="B92" t="s">
        <v>61</v>
      </c>
      <c r="C92">
        <v>345653</v>
      </c>
      <c r="D92">
        <f>C92/6128249*100</f>
        <v>5.6403223824619397</v>
      </c>
    </row>
    <row r="93" spans="1:4" hidden="1" x14ac:dyDescent="0.3">
      <c r="A93">
        <v>2</v>
      </c>
      <c r="B93" t="s">
        <v>4</v>
      </c>
      <c r="C93">
        <v>133958</v>
      </c>
      <c r="D93">
        <f>C93/6128249*100</f>
        <v>2.1859098740929097</v>
      </c>
    </row>
    <row r="94" spans="1:4" hidden="1" x14ac:dyDescent="0.3">
      <c r="A94">
        <v>3</v>
      </c>
      <c r="B94" t="s">
        <v>4</v>
      </c>
      <c r="C94">
        <v>132561</v>
      </c>
      <c r="D94">
        <f>C94/6128249*100</f>
        <v>2.1631138029802641</v>
      </c>
    </row>
    <row r="95" spans="1:4" hidden="1" x14ac:dyDescent="0.3">
      <c r="A95">
        <v>7</v>
      </c>
      <c r="B95" t="s">
        <v>11</v>
      </c>
      <c r="C95">
        <v>18439</v>
      </c>
      <c r="D95">
        <f>C95/6128249*100</f>
        <v>0.30088529366218636</v>
      </c>
    </row>
    <row r="96" spans="1:4" hidden="1" x14ac:dyDescent="0.3">
      <c r="A96">
        <v>7</v>
      </c>
      <c r="B96" t="s">
        <v>9</v>
      </c>
      <c r="C96">
        <v>1991</v>
      </c>
      <c r="D96">
        <f>C96/6128249*100</f>
        <v>3.24888887510935E-2</v>
      </c>
    </row>
    <row r="97" spans="1:4" hidden="1" x14ac:dyDescent="0.3">
      <c r="A97">
        <v>7</v>
      </c>
      <c r="B97" t="s">
        <v>34</v>
      </c>
      <c r="C97">
        <v>1379</v>
      </c>
      <c r="D97">
        <f>C97/6128249*100</f>
        <v>2.2502349366026086E-2</v>
      </c>
    </row>
    <row r="98" spans="1:4" hidden="1" x14ac:dyDescent="0.3">
      <c r="A98">
        <v>7</v>
      </c>
      <c r="B98" t="s">
        <v>10</v>
      </c>
      <c r="C98">
        <v>781</v>
      </c>
      <c r="D98">
        <f>C98/6128249*100</f>
        <v>1.2744260228329495E-2</v>
      </c>
    </row>
    <row r="99" spans="1:4" hidden="1" x14ac:dyDescent="0.3">
      <c r="A99">
        <v>7</v>
      </c>
      <c r="B99" t="s">
        <v>35</v>
      </c>
      <c r="C99">
        <v>659</v>
      </c>
      <c r="D99">
        <f>C99/6128249*100</f>
        <v>1.0753479501240892E-2</v>
      </c>
    </row>
    <row r="100" spans="1:4" hidden="1" x14ac:dyDescent="0.3">
      <c r="A100">
        <v>7</v>
      </c>
      <c r="B100" t="s">
        <v>21</v>
      </c>
      <c r="C100">
        <v>622</v>
      </c>
      <c r="D100">
        <f>C100/6128249*100</f>
        <v>1.0149718133189432E-2</v>
      </c>
    </row>
    <row r="101" spans="1:4" hidden="1" x14ac:dyDescent="0.3">
      <c r="A101">
        <v>7</v>
      </c>
      <c r="B101" t="s">
        <v>14</v>
      </c>
      <c r="C101">
        <v>606</v>
      </c>
      <c r="D101">
        <f>C101/6128249*100</f>
        <v>9.8886321361942048E-3</v>
      </c>
    </row>
    <row r="102" spans="1:4" hidden="1" x14ac:dyDescent="0.3">
      <c r="A102">
        <v>9</v>
      </c>
      <c r="B102" t="s">
        <v>61</v>
      </c>
      <c r="C102">
        <v>56451</v>
      </c>
      <c r="D102">
        <f>C102/6128249*100</f>
        <v>0.92116035102359584</v>
      </c>
    </row>
    <row r="103" spans="1:4" hidden="1" x14ac:dyDescent="0.3">
      <c r="A103">
        <v>7</v>
      </c>
      <c r="B103" t="s">
        <v>4</v>
      </c>
      <c r="C103">
        <v>34285</v>
      </c>
      <c r="D103">
        <f>C103/6128249*100</f>
        <v>0.55945833793633382</v>
      </c>
    </row>
    <row r="104" spans="1:4" hidden="1" x14ac:dyDescent="0.3">
      <c r="A104">
        <v>2</v>
      </c>
      <c r="B104" t="s">
        <v>50</v>
      </c>
      <c r="C104">
        <v>94249</v>
      </c>
      <c r="D104">
        <f>C104/6128249*100</f>
        <v>1.5379433831751941</v>
      </c>
    </row>
    <row r="105" spans="1:4" hidden="1" x14ac:dyDescent="0.3">
      <c r="A105">
        <v>4</v>
      </c>
      <c r="B105" t="s">
        <v>26</v>
      </c>
      <c r="C105">
        <v>384</v>
      </c>
      <c r="D105">
        <f>C105/6128249*100</f>
        <v>6.2660639278854366E-3</v>
      </c>
    </row>
    <row r="106" spans="1:4" hidden="1" x14ac:dyDescent="0.3">
      <c r="A106">
        <v>3</v>
      </c>
      <c r="B106" t="s">
        <v>10</v>
      </c>
      <c r="C106">
        <v>27590</v>
      </c>
      <c r="D106">
        <f t="shared" ref="D98:D129" si="2">C106/6128249*100</f>
        <v>0.45021016606864372</v>
      </c>
    </row>
    <row r="107" spans="1:4" hidden="1" x14ac:dyDescent="0.3">
      <c r="A107">
        <v>7</v>
      </c>
      <c r="B107" t="s">
        <v>7</v>
      </c>
      <c r="C107">
        <v>163926</v>
      </c>
      <c r="D107">
        <f t="shared" si="2"/>
        <v>2.6749239464649692</v>
      </c>
    </row>
    <row r="108" spans="1:4" hidden="1" x14ac:dyDescent="0.3">
      <c r="A108">
        <v>8</v>
      </c>
      <c r="B108" t="s">
        <v>31</v>
      </c>
      <c r="C108">
        <v>18973</v>
      </c>
      <c r="D108">
        <f t="shared" si="2"/>
        <v>0.30959903881190209</v>
      </c>
    </row>
    <row r="109" spans="1:4" hidden="1" x14ac:dyDescent="0.3">
      <c r="A109">
        <v>8</v>
      </c>
      <c r="B109" t="s">
        <v>14</v>
      </c>
      <c r="C109">
        <v>12912</v>
      </c>
      <c r="D109">
        <f t="shared" si="2"/>
        <v>0.21069639957514782</v>
      </c>
    </row>
    <row r="110" spans="1:4" hidden="1" x14ac:dyDescent="0.3">
      <c r="A110">
        <v>8</v>
      </c>
      <c r="B110" t="s">
        <v>4</v>
      </c>
      <c r="C110">
        <v>9854</v>
      </c>
      <c r="D110">
        <f t="shared" si="2"/>
        <v>0.16079633839943513</v>
      </c>
    </row>
    <row r="111" spans="1:4" hidden="1" x14ac:dyDescent="0.3">
      <c r="A111">
        <v>8</v>
      </c>
      <c r="B111" t="s">
        <v>16</v>
      </c>
      <c r="C111">
        <v>7470</v>
      </c>
      <c r="D111">
        <f t="shared" si="2"/>
        <v>0.12189452484714638</v>
      </c>
    </row>
    <row r="112" spans="1:4" hidden="1" x14ac:dyDescent="0.3">
      <c r="A112">
        <v>8</v>
      </c>
      <c r="B112" t="s">
        <v>8</v>
      </c>
      <c r="C112">
        <v>6962</v>
      </c>
      <c r="D112">
        <f t="shared" si="2"/>
        <v>0.11360504444254794</v>
      </c>
    </row>
    <row r="113" spans="1:4" hidden="1" x14ac:dyDescent="0.3">
      <c r="A113">
        <v>8</v>
      </c>
      <c r="B113" t="s">
        <v>32</v>
      </c>
      <c r="C113">
        <v>5169</v>
      </c>
      <c r="D113">
        <f t="shared" si="2"/>
        <v>8.4347094904270378E-2</v>
      </c>
    </row>
    <row r="114" spans="1:4" hidden="1" x14ac:dyDescent="0.3">
      <c r="A114">
        <v>8</v>
      </c>
      <c r="B114" t="s">
        <v>15</v>
      </c>
      <c r="C114">
        <v>3245</v>
      </c>
      <c r="D114">
        <f t="shared" si="2"/>
        <v>5.2951503765594383E-2</v>
      </c>
    </row>
    <row r="115" spans="1:4" hidden="1" x14ac:dyDescent="0.3">
      <c r="A115">
        <v>8</v>
      </c>
      <c r="B115" t="s">
        <v>36</v>
      </c>
      <c r="C115">
        <v>2989</v>
      </c>
      <c r="D115">
        <f t="shared" si="2"/>
        <v>4.8774127813670756E-2</v>
      </c>
    </row>
    <row r="116" spans="1:4" hidden="1" x14ac:dyDescent="0.3">
      <c r="A116">
        <v>8</v>
      </c>
      <c r="B116" t="s">
        <v>35</v>
      </c>
      <c r="C116">
        <v>2776</v>
      </c>
      <c r="D116">
        <f t="shared" si="2"/>
        <v>4.5298420478671803E-2</v>
      </c>
    </row>
    <row r="117" spans="1:4" hidden="1" x14ac:dyDescent="0.3">
      <c r="A117">
        <v>8</v>
      </c>
      <c r="B117" t="s">
        <v>9</v>
      </c>
      <c r="C117">
        <v>2524</v>
      </c>
      <c r="D117">
        <f t="shared" si="2"/>
        <v>4.1186316025996983E-2</v>
      </c>
    </row>
    <row r="118" spans="1:4" hidden="1" x14ac:dyDescent="0.3">
      <c r="A118">
        <v>8</v>
      </c>
      <c r="B118" t="s">
        <v>37</v>
      </c>
      <c r="C118">
        <v>2265</v>
      </c>
      <c r="D118">
        <f t="shared" si="2"/>
        <v>3.6959986449636759E-2</v>
      </c>
    </row>
    <row r="119" spans="1:4" hidden="1" x14ac:dyDescent="0.3">
      <c r="A119">
        <v>8</v>
      </c>
      <c r="B119" t="s">
        <v>10</v>
      </c>
      <c r="C119">
        <v>1960</v>
      </c>
      <c r="D119">
        <f t="shared" si="2"/>
        <v>3.198303463191525E-2</v>
      </c>
    </row>
    <row r="120" spans="1:4" hidden="1" x14ac:dyDescent="0.3">
      <c r="A120">
        <v>8</v>
      </c>
      <c r="B120" t="s">
        <v>25</v>
      </c>
      <c r="C120">
        <v>1641</v>
      </c>
      <c r="D120">
        <f t="shared" si="2"/>
        <v>2.6777632566822921E-2</v>
      </c>
    </row>
    <row r="121" spans="1:4" hidden="1" x14ac:dyDescent="0.3">
      <c r="A121">
        <v>8</v>
      </c>
      <c r="B121" t="s">
        <v>38</v>
      </c>
      <c r="C121">
        <v>1458</v>
      </c>
      <c r="D121">
        <f t="shared" si="2"/>
        <v>2.3791461476190018E-2</v>
      </c>
    </row>
    <row r="122" spans="1:4" hidden="1" x14ac:dyDescent="0.3">
      <c r="A122">
        <v>8</v>
      </c>
      <c r="B122" t="s">
        <v>23</v>
      </c>
      <c r="C122">
        <v>1458</v>
      </c>
      <c r="D122">
        <f t="shared" si="2"/>
        <v>2.3791461476190018E-2</v>
      </c>
    </row>
    <row r="123" spans="1:4" hidden="1" x14ac:dyDescent="0.3">
      <c r="A123">
        <v>8</v>
      </c>
      <c r="B123" t="s">
        <v>28</v>
      </c>
      <c r="C123">
        <v>1449</v>
      </c>
      <c r="D123">
        <f t="shared" si="2"/>
        <v>2.3644600602880202E-2</v>
      </c>
    </row>
    <row r="124" spans="1:4" hidden="1" x14ac:dyDescent="0.3">
      <c r="A124">
        <v>8</v>
      </c>
      <c r="B124" t="s">
        <v>39</v>
      </c>
      <c r="C124">
        <v>1370</v>
      </c>
      <c r="D124">
        <f t="shared" si="2"/>
        <v>2.235548849271627E-2</v>
      </c>
    </row>
    <row r="125" spans="1:4" hidden="1" x14ac:dyDescent="0.3">
      <c r="A125">
        <v>8</v>
      </c>
      <c r="B125" t="s">
        <v>22</v>
      </c>
      <c r="C125">
        <v>744</v>
      </c>
      <c r="D125">
        <f t="shared" si="2"/>
        <v>1.2140498860278032E-2</v>
      </c>
    </row>
    <row r="126" spans="1:4" hidden="1" x14ac:dyDescent="0.3">
      <c r="A126">
        <v>8</v>
      </c>
      <c r="B126" t="s">
        <v>40</v>
      </c>
      <c r="C126">
        <v>716</v>
      </c>
      <c r="D126">
        <f t="shared" si="2"/>
        <v>1.1683598365536388E-2</v>
      </c>
    </row>
    <row r="127" spans="1:4" hidden="1" x14ac:dyDescent="0.3">
      <c r="A127">
        <v>8</v>
      </c>
      <c r="B127" t="s">
        <v>26</v>
      </c>
      <c r="C127">
        <v>715</v>
      </c>
      <c r="D127">
        <f t="shared" si="2"/>
        <v>1.1667280490724186E-2</v>
      </c>
    </row>
    <row r="128" spans="1:4" hidden="1" x14ac:dyDescent="0.3">
      <c r="A128">
        <v>3</v>
      </c>
      <c r="B128" t="s">
        <v>48</v>
      </c>
      <c r="C128">
        <v>36585</v>
      </c>
      <c r="D128">
        <f t="shared" si="2"/>
        <v>0.59698945000439763</v>
      </c>
    </row>
    <row r="129" spans="1:4" hidden="1" x14ac:dyDescent="0.3">
      <c r="A129">
        <v>7</v>
      </c>
      <c r="B129" t="s">
        <v>63</v>
      </c>
      <c r="C129">
        <v>183632</v>
      </c>
      <c r="D129">
        <f t="shared" si="2"/>
        <v>2.9964839875142149</v>
      </c>
    </row>
    <row r="130" spans="1:4" hidden="1" x14ac:dyDescent="0.3">
      <c r="A130">
        <v>3</v>
      </c>
      <c r="B130" t="s">
        <v>47</v>
      </c>
      <c r="C130">
        <v>26369</v>
      </c>
      <c r="D130">
        <f t="shared" ref="D130:D161" si="3">C130/6128249*100</f>
        <v>0.43028604092294553</v>
      </c>
    </row>
    <row r="131" spans="1:4" hidden="1" x14ac:dyDescent="0.3">
      <c r="A131">
        <v>9</v>
      </c>
      <c r="B131" t="s">
        <v>9</v>
      </c>
      <c r="C131">
        <v>2810</v>
      </c>
      <c r="D131">
        <f t="shared" ref="D131:D136" si="4">C131/6128249*100</f>
        <v>4.5853228222286657E-2</v>
      </c>
    </row>
    <row r="132" spans="1:4" hidden="1" x14ac:dyDescent="0.3">
      <c r="A132">
        <v>9</v>
      </c>
      <c r="B132" t="s">
        <v>6</v>
      </c>
      <c r="C132">
        <v>1198</v>
      </c>
      <c r="D132">
        <f t="shared" si="4"/>
        <v>1.9548814025017586E-2</v>
      </c>
    </row>
    <row r="133" spans="1:4" hidden="1" x14ac:dyDescent="0.3">
      <c r="A133">
        <v>9</v>
      </c>
      <c r="B133" t="s">
        <v>11</v>
      </c>
      <c r="C133">
        <v>749</v>
      </c>
      <c r="D133">
        <f t="shared" si="4"/>
        <v>1.2222088234339042E-2</v>
      </c>
    </row>
    <row r="134" spans="1:4" hidden="1" x14ac:dyDescent="0.3">
      <c r="A134">
        <v>9</v>
      </c>
      <c r="B134" t="s">
        <v>10</v>
      </c>
      <c r="C134">
        <v>682</v>
      </c>
      <c r="D134">
        <f t="shared" si="4"/>
        <v>1.1128790621921531E-2</v>
      </c>
    </row>
    <row r="135" spans="1:4" hidden="1" x14ac:dyDescent="0.3">
      <c r="A135">
        <v>9</v>
      </c>
      <c r="B135" t="s">
        <v>41</v>
      </c>
      <c r="C135">
        <v>677</v>
      </c>
      <c r="D135">
        <f t="shared" si="4"/>
        <v>1.1047201247860522E-2</v>
      </c>
    </row>
    <row r="136" spans="1:4" hidden="1" x14ac:dyDescent="0.3">
      <c r="A136">
        <v>9</v>
      </c>
      <c r="B136" t="s">
        <v>42</v>
      </c>
      <c r="C136">
        <v>561</v>
      </c>
      <c r="D136">
        <f t="shared" si="4"/>
        <v>9.1543277696451292E-3</v>
      </c>
    </row>
  </sheetData>
  <autoFilter ref="A1:D136" xr:uid="{54A4F183-847E-40D2-85ED-6A83C1474702}">
    <filterColumn colId="1">
      <filters>
        <filter val="Loam_1"/>
      </filters>
    </filterColumn>
    <sortState xmlns:xlrd2="http://schemas.microsoft.com/office/spreadsheetml/2017/richdata2" ref="A42:D105">
      <sortCondition descending="1" ref="C1:C136"/>
    </sortState>
  </autoFilter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82E03-D553-4197-8A68-2F67C37C3A56}">
  <dimension ref="A1:J33"/>
  <sheetViews>
    <sheetView tabSelected="1" workbookViewId="0">
      <selection activeCell="F19" sqref="F19"/>
    </sheetView>
  </sheetViews>
  <sheetFormatPr defaultRowHeight="14" x14ac:dyDescent="0.3"/>
  <cols>
    <col min="2" max="2" width="16.5" customWidth="1"/>
    <col min="9" max="9" width="15.1640625" bestFit="1" customWidth="1"/>
    <col min="10" max="10" width="15.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43</v>
      </c>
      <c r="I1" s="2" t="s">
        <v>65</v>
      </c>
      <c r="J1" t="s">
        <v>67</v>
      </c>
    </row>
    <row r="2" spans="1:10" x14ac:dyDescent="0.3">
      <c r="A2">
        <v>8</v>
      </c>
      <c r="B2" t="s">
        <v>46</v>
      </c>
      <c r="C2">
        <v>110642</v>
      </c>
      <c r="D2">
        <v>1.8054423049716157</v>
      </c>
      <c r="I2" s="3" t="s">
        <v>5</v>
      </c>
      <c r="J2">
        <v>4.6131774345330943</v>
      </c>
    </row>
    <row r="3" spans="1:10" x14ac:dyDescent="0.3">
      <c r="A3">
        <v>7</v>
      </c>
      <c r="B3" t="s">
        <v>5</v>
      </c>
      <c r="C3">
        <v>67159</v>
      </c>
      <c r="D3">
        <v>1.0958921545126512</v>
      </c>
      <c r="I3" s="3" t="s">
        <v>21</v>
      </c>
      <c r="J3">
        <v>3.0438547780940364</v>
      </c>
    </row>
    <row r="4" spans="1:10" x14ac:dyDescent="0.3">
      <c r="A4">
        <v>1</v>
      </c>
      <c r="B4" t="s">
        <v>46</v>
      </c>
      <c r="C4">
        <v>63378</v>
      </c>
      <c r="D4">
        <v>1.0341942698477167</v>
      </c>
      <c r="I4" s="3" t="s">
        <v>30</v>
      </c>
      <c r="J4">
        <v>0.91944697416831456</v>
      </c>
    </row>
    <row r="5" spans="1:10" x14ac:dyDescent="0.3">
      <c r="A5">
        <v>9</v>
      </c>
      <c r="B5" t="s">
        <v>5</v>
      </c>
      <c r="C5">
        <v>41528</v>
      </c>
      <c r="D5">
        <v>0.67764870520111053</v>
      </c>
      <c r="I5" s="3" t="s">
        <v>3</v>
      </c>
      <c r="J5">
        <v>56.664570907611612</v>
      </c>
    </row>
    <row r="6" spans="1:10" x14ac:dyDescent="0.3">
      <c r="A6">
        <v>8</v>
      </c>
      <c r="B6" t="s">
        <v>49</v>
      </c>
      <c r="C6">
        <v>186535</v>
      </c>
      <c r="D6">
        <v>3.0438547780940364</v>
      </c>
      <c r="I6" s="3" t="s">
        <v>11</v>
      </c>
      <c r="J6">
        <v>6.3051941916850964</v>
      </c>
    </row>
    <row r="7" spans="1:10" x14ac:dyDescent="0.3">
      <c r="A7">
        <v>8</v>
      </c>
      <c r="B7" t="s">
        <v>52</v>
      </c>
      <c r="C7">
        <v>56346</v>
      </c>
      <c r="D7">
        <v>0.91944697416831456</v>
      </c>
      <c r="I7" s="3" t="s">
        <v>12</v>
      </c>
      <c r="J7">
        <v>0.63137121223370662</v>
      </c>
    </row>
    <row r="8" spans="1:10" x14ac:dyDescent="0.3">
      <c r="A8">
        <v>1</v>
      </c>
      <c r="B8" t="s">
        <v>59</v>
      </c>
      <c r="C8">
        <v>873379</v>
      </c>
      <c r="D8">
        <v>14.251689185605873</v>
      </c>
      <c r="I8" s="3" t="s">
        <v>6</v>
      </c>
      <c r="J8">
        <v>0.3917105848669008</v>
      </c>
    </row>
    <row r="9" spans="1:10" x14ac:dyDescent="0.3">
      <c r="A9">
        <v>7</v>
      </c>
      <c r="B9" t="s">
        <v>59</v>
      </c>
      <c r="C9">
        <v>786087</v>
      </c>
      <c r="D9">
        <v>12.827269257499166</v>
      </c>
      <c r="I9" s="3" t="s">
        <v>4</v>
      </c>
      <c r="J9">
        <v>11.469964748495045</v>
      </c>
    </row>
    <row r="10" spans="1:10" x14ac:dyDescent="0.3">
      <c r="A10">
        <v>6</v>
      </c>
      <c r="B10" t="s">
        <v>3</v>
      </c>
      <c r="C10">
        <v>542430</v>
      </c>
      <c r="D10">
        <v>8.851304834382546</v>
      </c>
      <c r="I10" s="3" t="s">
        <v>10</v>
      </c>
      <c r="J10">
        <v>2.7718194870998225</v>
      </c>
    </row>
    <row r="11" spans="1:10" x14ac:dyDescent="0.3">
      <c r="A11">
        <v>3</v>
      </c>
      <c r="B11" t="s">
        <v>3</v>
      </c>
      <c r="C11">
        <v>370213</v>
      </c>
      <c r="D11">
        <v>6.0410893878496124</v>
      </c>
      <c r="I11" s="3" t="s">
        <v>7</v>
      </c>
      <c r="J11">
        <v>3.2719133964693667</v>
      </c>
    </row>
    <row r="12" spans="1:10" x14ac:dyDescent="0.3">
      <c r="A12">
        <v>2</v>
      </c>
      <c r="B12" t="s">
        <v>3</v>
      </c>
      <c r="C12">
        <v>292904</v>
      </c>
      <c r="D12">
        <v>4.7795708039931144</v>
      </c>
      <c r="I12" s="3" t="s">
        <v>8</v>
      </c>
      <c r="J12">
        <v>3.4267700284371605</v>
      </c>
    </row>
    <row r="13" spans="1:10" x14ac:dyDescent="0.3">
      <c r="A13">
        <v>8</v>
      </c>
      <c r="B13" t="s">
        <v>3</v>
      </c>
      <c r="C13">
        <v>262460</v>
      </c>
      <c r="D13">
        <v>4.2827894232104473</v>
      </c>
      <c r="I13" s="3" t="s">
        <v>66</v>
      </c>
      <c r="J13">
        <v>93.509793743694161</v>
      </c>
    </row>
    <row r="14" spans="1:10" x14ac:dyDescent="0.3">
      <c r="A14">
        <v>9</v>
      </c>
      <c r="B14" t="s">
        <v>3</v>
      </c>
      <c r="C14">
        <v>217135</v>
      </c>
      <c r="D14">
        <v>3.5431817473474068</v>
      </c>
    </row>
    <row r="15" spans="1:10" x14ac:dyDescent="0.3">
      <c r="A15">
        <v>4</v>
      </c>
      <c r="B15" t="s">
        <v>3</v>
      </c>
      <c r="C15">
        <v>127938</v>
      </c>
      <c r="D15">
        <v>2.0876762677234555</v>
      </c>
    </row>
    <row r="16" spans="1:10" x14ac:dyDescent="0.3">
      <c r="A16">
        <v>2</v>
      </c>
      <c r="B16" t="s">
        <v>45</v>
      </c>
      <c r="C16">
        <v>155158</v>
      </c>
      <c r="D16">
        <v>2.531848820111585</v>
      </c>
    </row>
    <row r="17" spans="1:4" x14ac:dyDescent="0.3">
      <c r="A17">
        <v>8</v>
      </c>
      <c r="B17" t="s">
        <v>11</v>
      </c>
      <c r="C17">
        <v>121759</v>
      </c>
      <c r="D17">
        <v>1.9868481192588616</v>
      </c>
    </row>
    <row r="18" spans="1:4" x14ac:dyDescent="0.3">
      <c r="A18">
        <v>4</v>
      </c>
      <c r="B18" t="s">
        <v>11</v>
      </c>
      <c r="C18">
        <v>85478</v>
      </c>
      <c r="D18">
        <v>1.3948193031973735</v>
      </c>
    </row>
    <row r="19" spans="1:4" x14ac:dyDescent="0.3">
      <c r="A19">
        <v>6</v>
      </c>
      <c r="B19" t="s">
        <v>11</v>
      </c>
      <c r="C19">
        <v>24003</v>
      </c>
      <c r="D19">
        <v>0.39167794911727644</v>
      </c>
    </row>
    <row r="20" spans="1:4" x14ac:dyDescent="0.3">
      <c r="A20">
        <v>8</v>
      </c>
      <c r="B20" t="s">
        <v>51</v>
      </c>
      <c r="C20">
        <v>38692</v>
      </c>
      <c r="D20">
        <v>0.63137121223370662</v>
      </c>
    </row>
    <row r="21" spans="1:4" x14ac:dyDescent="0.3">
      <c r="A21">
        <v>2</v>
      </c>
      <c r="B21" t="s">
        <v>54</v>
      </c>
      <c r="C21">
        <v>24005</v>
      </c>
      <c r="D21">
        <v>0.3917105848669008</v>
      </c>
    </row>
    <row r="22" spans="1:4" x14ac:dyDescent="0.3">
      <c r="A22">
        <v>1</v>
      </c>
      <c r="B22" t="s">
        <v>44</v>
      </c>
      <c r="C22">
        <v>345653</v>
      </c>
      <c r="D22">
        <v>5.6403223824619397</v>
      </c>
    </row>
    <row r="23" spans="1:4" x14ac:dyDescent="0.3">
      <c r="A23">
        <v>2</v>
      </c>
      <c r="B23" t="s">
        <v>4</v>
      </c>
      <c r="C23">
        <v>133958</v>
      </c>
      <c r="D23">
        <v>2.1859098740929097</v>
      </c>
    </row>
    <row r="24" spans="1:4" x14ac:dyDescent="0.3">
      <c r="A24">
        <v>3</v>
      </c>
      <c r="B24" t="s">
        <v>4</v>
      </c>
      <c r="C24">
        <v>132561</v>
      </c>
      <c r="D24">
        <v>2.1631138029802641</v>
      </c>
    </row>
    <row r="25" spans="1:4" x14ac:dyDescent="0.3">
      <c r="A25">
        <v>9</v>
      </c>
      <c r="B25" t="s">
        <v>44</v>
      </c>
      <c r="C25">
        <v>56451</v>
      </c>
      <c r="D25">
        <v>0.92116035102359584</v>
      </c>
    </row>
    <row r="26" spans="1:4" x14ac:dyDescent="0.3">
      <c r="A26">
        <v>7</v>
      </c>
      <c r="B26" t="s">
        <v>4</v>
      </c>
      <c r="C26">
        <v>34285</v>
      </c>
      <c r="D26">
        <v>0.55945833793633382</v>
      </c>
    </row>
    <row r="27" spans="1:4" x14ac:dyDescent="0.3">
      <c r="A27">
        <v>2</v>
      </c>
      <c r="B27" t="s">
        <v>50</v>
      </c>
      <c r="C27">
        <v>94249</v>
      </c>
      <c r="D27">
        <v>1.5379433831751941</v>
      </c>
    </row>
    <row r="28" spans="1:4" x14ac:dyDescent="0.3">
      <c r="A28">
        <v>4</v>
      </c>
      <c r="B28" t="s">
        <v>10</v>
      </c>
      <c r="C28">
        <v>48025</v>
      </c>
      <c r="D28">
        <v>0.7836659378559846</v>
      </c>
    </row>
    <row r="29" spans="1:4" x14ac:dyDescent="0.3">
      <c r="A29">
        <v>3</v>
      </c>
      <c r="B29" t="s">
        <v>10</v>
      </c>
      <c r="C29">
        <v>27590</v>
      </c>
      <c r="D29">
        <v>0.45021016606864372</v>
      </c>
    </row>
    <row r="30" spans="1:4" x14ac:dyDescent="0.3">
      <c r="A30">
        <v>7</v>
      </c>
      <c r="B30" t="s">
        <v>7</v>
      </c>
      <c r="C30">
        <v>163926</v>
      </c>
      <c r="D30">
        <v>2.6749239464649692</v>
      </c>
    </row>
    <row r="31" spans="1:4" x14ac:dyDescent="0.3">
      <c r="A31">
        <v>3</v>
      </c>
      <c r="B31" t="s">
        <v>48</v>
      </c>
      <c r="C31">
        <v>36585</v>
      </c>
      <c r="D31">
        <v>0.59698945000439763</v>
      </c>
    </row>
    <row r="32" spans="1:4" x14ac:dyDescent="0.3">
      <c r="A32">
        <v>7</v>
      </c>
      <c r="B32" t="s">
        <v>47</v>
      </c>
      <c r="C32">
        <v>183632</v>
      </c>
      <c r="D32">
        <v>2.9964839875142149</v>
      </c>
    </row>
    <row r="33" spans="1:4" x14ac:dyDescent="0.3">
      <c r="A33">
        <v>3</v>
      </c>
      <c r="B33" t="s">
        <v>47</v>
      </c>
      <c r="C33">
        <v>26369</v>
      </c>
      <c r="D33">
        <v>0.43028604092294553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40个地形分类下数据统计</vt:lpstr>
      <vt:lpstr>0~7cm不同农业分区下地形质地分类统计结果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fupf</dc:creator>
  <cp:lastModifiedBy>付平凡 付</cp:lastModifiedBy>
  <dcterms:created xsi:type="dcterms:W3CDTF">2025-10-27T01:11:42Z</dcterms:created>
  <dcterms:modified xsi:type="dcterms:W3CDTF">2025-12-29T01:13:30Z</dcterms:modified>
</cp:coreProperties>
</file>